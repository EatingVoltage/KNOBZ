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KNOBZ controller\production files\"/>
    </mc:Choice>
  </mc:AlternateContent>
  <xr:revisionPtr revIDLastSave="0" documentId="8_{F53613B7-D0D3-4AAB-9E71-EE873E713F1A}" xr6:coauthVersionLast="47" xr6:coauthVersionMax="47" xr10:uidLastSave="{00000000-0000-0000-0000-000000000000}"/>
  <bookViews>
    <workbookView xWindow="-120" yWindow="-120" windowWidth="51840" windowHeight="21120" xr2:uid="{F6F8A006-4974-4159-9DBB-27A1163FB1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4" i="1"/>
  <c r="C1" i="1" l="1"/>
</calcChain>
</file>

<file path=xl/sharedStrings.xml><?xml version="1.0" encoding="utf-8"?>
<sst xmlns="http://schemas.openxmlformats.org/spreadsheetml/2006/main" count="35" uniqueCount="35">
  <si>
    <t>KNOBZ BOM</t>
  </si>
  <si>
    <t>front plate</t>
  </si>
  <si>
    <t>pcb</t>
  </si>
  <si>
    <t>backplate</t>
  </si>
  <si>
    <t>potentiometer</t>
  </si>
  <si>
    <t>fader</t>
  </si>
  <si>
    <t>oled</t>
  </si>
  <si>
    <t>lidar</t>
  </si>
  <si>
    <t>subminiature toggle</t>
  </si>
  <si>
    <t>minijack connector</t>
  </si>
  <si>
    <t>part name trivial</t>
  </si>
  <si>
    <t>part name trading</t>
  </si>
  <si>
    <t>link</t>
  </si>
  <si>
    <t>price per piece</t>
  </si>
  <si>
    <t>3dp case</t>
  </si>
  <si>
    <t>3dp bottom spacer</t>
  </si>
  <si>
    <t>knobs</t>
  </si>
  <si>
    <t>fadercaps</t>
  </si>
  <si>
    <t>total price</t>
  </si>
  <si>
    <t>amt</t>
  </si>
  <si>
    <t>https://de.aliexpress.com/item/1005008640132638.html?spm=a2g0o.order_list.order_list_main.17.51041802pP68y5&amp;gatewayAdapt=glo2deu</t>
  </si>
  <si>
    <t>vl53l0x</t>
  </si>
  <si>
    <t>0.91 Inch 128x32 IIC I2C white OLED</t>
  </si>
  <si>
    <t>PJ-3240-5A</t>
  </si>
  <si>
    <t>rv09</t>
  </si>
  <si>
    <t>parts price</t>
  </si>
  <si>
    <t>smts-102</t>
  </si>
  <si>
    <t>https://de.aliexpress.com/item/4000226769848.html?spm=a2g0o.productlist.main.6.6f8316f9ERlf5c&amp;algo_pvid=81f5d1d7-235b-45b9-b875-2e962afca797&amp;pdp_ext_f=%7B%22order%22%3A%2286%22%2C%22eval%22%3A%221%22%2C%22fromPage%22%3A%22search%22%7D&amp;utparam-url=scene%3Asearch%7Cquery_from%3A%7Cx_object_id%3A4000226769848%7C_p_origin_prod%3A</t>
  </si>
  <si>
    <t>M2x4 screw panhead</t>
  </si>
  <si>
    <t>M2x4 screw panhead - H1.5mm</t>
  </si>
  <si>
    <t>https://www.aliexpress.com/item/1005002357962115.html?spm=a2g0o.order_list.order_list_main.16.d3331802J1pIZZ</t>
  </si>
  <si>
    <t>threaded insert</t>
  </si>
  <si>
    <t>M2x7 round Standoff Spacer Female M2 Brass Threaded Spacer</t>
  </si>
  <si>
    <t>https://de.aliexpress.com/item/1005003126118423.html?spm=a2g0o.detail.pcDetailTopMoreOtherSeller.12.7704NSCdNSCdD8&amp;gps-id=pcDetailTopMoreOtherSeller&amp;scm=1007.40196.442820.0&amp;scm_id=1007.40196.442820.0&amp;scm-url=1007.40196.442820.0&amp;pvid=71f20807-c653-4ccd-8929-b3a3b206b61f&amp;_t=gps-id:pcDetailTopMoreOtherSeller,scm-url:1007.40196.442820.0,pvid:71f20807-c653-4ccd-8929-b3a3b206b61f,tpp_buckets:668%232846%238113%231998&amp;pdp_ext_f=%7B%22order%22%3A%22115%22%2C%22eval%22%3A%221%22%2C%22sceneId%22%3A%2230050%22%7D&amp;pdp_npi=4%40dis%21CHF%211.34%211.34%21%21%211.65%211.65%21%402103890917532755622904032ecd11%2112000024241636353%21rec%21CH%21783024541%21XZ&amp;utparam-url=scene%3ApcDetailTopMoreOtherSeller%7Cquery_from%3A</t>
  </si>
  <si>
    <t>M2x10 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</si>
</sst>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8.5"/>
      <color rgb="FF000000"/>
      <name val="Adam Bold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1" xfId="0" applyFont="1" applyBorder="1"/>
    <xf numFmtId="0" fontId="2" fillId="0" borderId="1" xfId="1" applyBorder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2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iexpress.com/item/1005002357962115.html?spm=a2g0o.order_list.order_list_main.16.d3331802J1pIZ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6FA6-02E7-43B8-BECF-BAE1EA6F1DA7}">
  <dimension ref="A1:F25"/>
  <sheetViews>
    <sheetView tabSelected="1" workbookViewId="0">
      <selection activeCell="K27" sqref="K27"/>
    </sheetView>
  </sheetViews>
  <sheetFormatPr defaultRowHeight="15" x14ac:dyDescent="0.25"/>
  <cols>
    <col min="1" max="1" width="19.28515625" bestFit="1" customWidth="1"/>
    <col min="2" max="2" width="38" bestFit="1" customWidth="1"/>
    <col min="4" max="4" width="14" bestFit="1" customWidth="1"/>
    <col min="5" max="5" width="9.85546875" bestFit="1" customWidth="1"/>
  </cols>
  <sheetData>
    <row r="1" spans="1:6" x14ac:dyDescent="0.25">
      <c r="A1" t="s">
        <v>0</v>
      </c>
      <c r="B1" t="s">
        <v>18</v>
      </c>
      <c r="C1">
        <f>SUM(E4:E36)</f>
        <v>45.81</v>
      </c>
    </row>
    <row r="3" spans="1:6" ht="15.75" thickBot="1" x14ac:dyDescent="0.3">
      <c r="A3" s="9" t="s">
        <v>10</v>
      </c>
      <c r="B3" s="9" t="s">
        <v>11</v>
      </c>
      <c r="C3" s="9" t="s">
        <v>12</v>
      </c>
      <c r="D3" s="9" t="s">
        <v>13</v>
      </c>
      <c r="E3" s="9" t="s">
        <v>25</v>
      </c>
      <c r="F3" s="9" t="s">
        <v>19</v>
      </c>
    </row>
    <row r="4" spans="1:6" x14ac:dyDescent="0.25">
      <c r="A4" s="11" t="s">
        <v>1</v>
      </c>
      <c r="B4" s="12"/>
      <c r="C4" s="12"/>
      <c r="D4" s="12">
        <v>3</v>
      </c>
      <c r="E4" s="12">
        <f>D4*F4</f>
        <v>3</v>
      </c>
      <c r="F4" s="13">
        <v>1</v>
      </c>
    </row>
    <row r="5" spans="1:6" x14ac:dyDescent="0.25">
      <c r="A5" s="5" t="s">
        <v>2</v>
      </c>
      <c r="B5" s="3"/>
      <c r="C5" s="3"/>
      <c r="D5" s="3">
        <v>14</v>
      </c>
      <c r="E5" s="3">
        <f t="shared" ref="E5:E25" si="0">D5*F5</f>
        <v>14</v>
      </c>
      <c r="F5" s="6">
        <v>1</v>
      </c>
    </row>
    <row r="6" spans="1:6" x14ac:dyDescent="0.25">
      <c r="A6" s="5" t="s">
        <v>3</v>
      </c>
      <c r="B6" s="3"/>
      <c r="C6" s="3"/>
      <c r="D6" s="3">
        <v>3</v>
      </c>
      <c r="E6" s="3">
        <f t="shared" si="0"/>
        <v>3</v>
      </c>
      <c r="F6" s="6">
        <v>1</v>
      </c>
    </row>
    <row r="7" spans="1:6" x14ac:dyDescent="0.25">
      <c r="A7" s="5"/>
      <c r="B7" s="3"/>
      <c r="C7" s="3"/>
      <c r="D7" s="3"/>
      <c r="E7" s="3">
        <f t="shared" si="0"/>
        <v>0</v>
      </c>
      <c r="F7" s="6"/>
    </row>
    <row r="8" spans="1:6" x14ac:dyDescent="0.25">
      <c r="A8" s="5" t="s">
        <v>4</v>
      </c>
      <c r="B8" s="3" t="s">
        <v>24</v>
      </c>
      <c r="C8" s="3"/>
      <c r="D8" s="3">
        <v>0.1</v>
      </c>
      <c r="E8" s="3">
        <f t="shared" si="0"/>
        <v>2</v>
      </c>
      <c r="F8" s="6">
        <v>20</v>
      </c>
    </row>
    <row r="9" spans="1:6" x14ac:dyDescent="0.25">
      <c r="A9" s="5" t="s">
        <v>5</v>
      </c>
      <c r="B9" s="3"/>
      <c r="C9" s="3"/>
      <c r="D9" s="3">
        <v>1</v>
      </c>
      <c r="E9" s="3">
        <f t="shared" si="0"/>
        <v>10</v>
      </c>
      <c r="F9" s="6">
        <v>10</v>
      </c>
    </row>
    <row r="10" spans="1:6" x14ac:dyDescent="0.25">
      <c r="A10" s="5" t="s">
        <v>6</v>
      </c>
      <c r="B10" s="4" t="s">
        <v>22</v>
      </c>
      <c r="C10" s="3" t="s">
        <v>20</v>
      </c>
      <c r="D10" s="3">
        <v>1.3</v>
      </c>
      <c r="E10" s="3">
        <f t="shared" si="0"/>
        <v>1.3</v>
      </c>
      <c r="F10" s="6">
        <v>1</v>
      </c>
    </row>
    <row r="11" spans="1:6" x14ac:dyDescent="0.25">
      <c r="A11" s="5" t="s">
        <v>7</v>
      </c>
      <c r="B11" s="3" t="s">
        <v>21</v>
      </c>
      <c r="C11" s="3"/>
      <c r="D11" s="3">
        <v>1.5</v>
      </c>
      <c r="E11" s="3">
        <f t="shared" si="0"/>
        <v>1.5</v>
      </c>
      <c r="F11" s="6">
        <v>1</v>
      </c>
    </row>
    <row r="12" spans="1:6" x14ac:dyDescent="0.25">
      <c r="A12" s="5" t="s">
        <v>9</v>
      </c>
      <c r="B12" s="3" t="s">
        <v>23</v>
      </c>
      <c r="C12" s="3"/>
      <c r="D12" s="3">
        <v>0.15</v>
      </c>
      <c r="E12" s="3">
        <f t="shared" si="0"/>
        <v>0.44999999999999996</v>
      </c>
      <c r="F12" s="6">
        <v>3</v>
      </c>
    </row>
    <row r="13" spans="1:6" x14ac:dyDescent="0.25">
      <c r="A13" s="5" t="s">
        <v>8</v>
      </c>
      <c r="B13" s="3" t="s">
        <v>26</v>
      </c>
      <c r="C13" s="3" t="s">
        <v>27</v>
      </c>
      <c r="D13" s="3">
        <v>1</v>
      </c>
      <c r="E13" s="3">
        <f t="shared" si="0"/>
        <v>1</v>
      </c>
      <c r="F13" s="6">
        <v>1</v>
      </c>
    </row>
    <row r="14" spans="1:6" x14ac:dyDescent="0.25">
      <c r="A14" s="5"/>
      <c r="B14" s="3"/>
      <c r="C14" s="3"/>
      <c r="D14" s="3"/>
      <c r="E14" s="3">
        <f t="shared" si="0"/>
        <v>0</v>
      </c>
      <c r="F14" s="6"/>
    </row>
    <row r="15" spans="1:6" x14ac:dyDescent="0.25">
      <c r="A15" s="7" t="s">
        <v>28</v>
      </c>
      <c r="B15" s="1" t="s">
        <v>29</v>
      </c>
      <c r="C15" s="2" t="s">
        <v>30</v>
      </c>
      <c r="D15" s="1">
        <v>2.5000000000000001E-2</v>
      </c>
      <c r="E15" s="3">
        <f t="shared" si="0"/>
        <v>0.35000000000000003</v>
      </c>
      <c r="F15" s="6">
        <v>14</v>
      </c>
    </row>
    <row r="16" spans="1:6" x14ac:dyDescent="0.25">
      <c r="A16" s="5" t="s">
        <v>34</v>
      </c>
      <c r="B16" s="3"/>
      <c r="C16" s="3"/>
      <c r="D16" s="3"/>
      <c r="E16" s="3">
        <f t="shared" si="0"/>
        <v>0</v>
      </c>
      <c r="F16" s="6">
        <v>14</v>
      </c>
    </row>
    <row r="17" spans="1:6" x14ac:dyDescent="0.25">
      <c r="A17" s="7" t="s">
        <v>31</v>
      </c>
      <c r="B17" s="1" t="s">
        <v>32</v>
      </c>
      <c r="C17" s="1" t="s">
        <v>33</v>
      </c>
      <c r="D17" s="1">
        <v>1.4999999999999999E-2</v>
      </c>
      <c r="E17" s="3">
        <f t="shared" si="0"/>
        <v>0.21</v>
      </c>
      <c r="F17" s="6">
        <v>14</v>
      </c>
    </row>
    <row r="18" spans="1:6" x14ac:dyDescent="0.25">
      <c r="A18" s="5"/>
      <c r="B18" s="3"/>
      <c r="C18" s="3"/>
      <c r="D18" s="3"/>
      <c r="E18" s="3">
        <f t="shared" si="0"/>
        <v>0</v>
      </c>
      <c r="F18" s="6"/>
    </row>
    <row r="19" spans="1:6" x14ac:dyDescent="0.25">
      <c r="A19" s="5" t="s">
        <v>14</v>
      </c>
      <c r="B19" s="3"/>
      <c r="C19" s="3"/>
      <c r="D19" s="3">
        <v>2</v>
      </c>
      <c r="E19" s="3">
        <f t="shared" si="0"/>
        <v>2</v>
      </c>
      <c r="F19" s="6">
        <v>1</v>
      </c>
    </row>
    <row r="20" spans="1:6" x14ac:dyDescent="0.25">
      <c r="A20" s="5" t="s">
        <v>15</v>
      </c>
      <c r="B20" s="3"/>
      <c r="C20" s="3"/>
      <c r="D20" s="3">
        <v>1</v>
      </c>
      <c r="E20" s="3">
        <f t="shared" si="0"/>
        <v>1</v>
      </c>
      <c r="F20" s="6">
        <v>1</v>
      </c>
    </row>
    <row r="21" spans="1:6" x14ac:dyDescent="0.25">
      <c r="A21" s="5"/>
      <c r="B21" s="3"/>
      <c r="C21" s="3"/>
      <c r="D21" s="3"/>
      <c r="E21" s="3">
        <f t="shared" si="0"/>
        <v>0</v>
      </c>
      <c r="F21" s="6"/>
    </row>
    <row r="22" spans="1:6" x14ac:dyDescent="0.25">
      <c r="A22" s="5" t="s">
        <v>16</v>
      </c>
      <c r="B22" s="3"/>
      <c r="C22" s="3"/>
      <c r="D22" s="3">
        <v>0.2</v>
      </c>
      <c r="E22" s="3">
        <f t="shared" si="0"/>
        <v>4</v>
      </c>
      <c r="F22" s="6">
        <v>20</v>
      </c>
    </row>
    <row r="23" spans="1:6" x14ac:dyDescent="0.25">
      <c r="A23" s="5" t="s">
        <v>17</v>
      </c>
      <c r="B23" s="3"/>
      <c r="C23" s="3"/>
      <c r="D23" s="3">
        <v>0.2</v>
      </c>
      <c r="E23" s="3">
        <f t="shared" si="0"/>
        <v>2</v>
      </c>
      <c r="F23" s="6">
        <v>10</v>
      </c>
    </row>
    <row r="24" spans="1:6" x14ac:dyDescent="0.25">
      <c r="A24" s="5"/>
      <c r="B24" s="3"/>
      <c r="C24" s="3"/>
      <c r="D24" s="3"/>
      <c r="E24" s="3">
        <f t="shared" si="0"/>
        <v>0</v>
      </c>
      <c r="F24" s="6"/>
    </row>
    <row r="25" spans="1:6" ht="15.75" thickBot="1" x14ac:dyDescent="0.3">
      <c r="A25" s="8"/>
      <c r="B25" s="9"/>
      <c r="C25" s="9"/>
      <c r="D25" s="9"/>
      <c r="E25" s="9">
        <f t="shared" si="0"/>
        <v>0</v>
      </c>
      <c r="F25" s="10"/>
    </row>
  </sheetData>
  <hyperlinks>
    <hyperlink ref="C15" r:id="rId1" xr:uid="{185008DE-F3D2-4522-8240-9425D52C8F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Gossner Samuel (KfK)</dc:creator>
  <cp:lastModifiedBy>Gossner Samuel (KfK)</cp:lastModifiedBy>
  <dcterms:created xsi:type="dcterms:W3CDTF">2025-12-09T18:37:22Z</dcterms:created>
  <dcterms:modified xsi:type="dcterms:W3CDTF">2026-02-21T18:35:00Z</dcterms:modified>
</cp:coreProperties>
</file>